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kylelee/Dropbox/Mac/Desktop/Database/"/>
    </mc:Choice>
  </mc:AlternateContent>
  <xr:revisionPtr revIDLastSave="0" documentId="13_ncr:1_{CECB1368-1043-8843-A343-352E4A73AD59}" xr6:coauthVersionLast="47" xr6:coauthVersionMax="47" xr10:uidLastSave="{00000000-0000-0000-0000-000000000000}"/>
  <bookViews>
    <workbookView xWindow="33180" yWindow="1860" windowWidth="30700" windowHeight="19260" xr2:uid="{00000000-000D-0000-FFFF-FFFF00000000}"/>
  </bookViews>
  <sheets>
    <sheet name="Questions" sheetId="1" r:id="rId1"/>
    <sheet name="solvi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 l="1"/>
  <c r="O26" i="1"/>
  <c r="O25" i="1"/>
  <c r="O24" i="1"/>
  <c r="O23" i="1"/>
  <c r="O22" i="1"/>
  <c r="O21" i="1"/>
  <c r="O20" i="1" l="1"/>
  <c r="O19" i="1"/>
  <c r="O18" i="1"/>
  <c r="O17" i="1"/>
  <c r="O16" i="1"/>
  <c r="O15" i="1"/>
  <c r="O14" i="1"/>
  <c r="O13" i="1"/>
  <c r="O12" i="1" l="1"/>
  <c r="F56" i="2"/>
  <c r="F55" i="2"/>
  <c r="F54" i="2"/>
  <c r="G53" i="2"/>
  <c r="O11" i="1"/>
  <c r="O10" i="1"/>
  <c r="F25" i="2"/>
  <c r="F26" i="2" s="1"/>
  <c r="G26" i="2" s="1"/>
  <c r="F20" i="2"/>
  <c r="F19" i="2"/>
  <c r="G14" i="2"/>
  <c r="F13" i="2"/>
  <c r="F12" i="2"/>
  <c r="F8" i="2"/>
  <c r="G8" i="2" s="1"/>
  <c r="O9" i="1"/>
  <c r="O8" i="1"/>
  <c r="O7" i="1"/>
  <c r="O6" i="1"/>
  <c r="O5" i="1"/>
  <c r="O3" i="1"/>
  <c r="F21" i="2" l="1"/>
  <c r="G21" i="2" s="1"/>
  <c r="F14" i="2"/>
  <c r="O2" i="1"/>
</calcChain>
</file>

<file path=xl/sharedStrings.xml><?xml version="1.0" encoding="utf-8"?>
<sst xmlns="http://schemas.openxmlformats.org/spreadsheetml/2006/main" count="240" uniqueCount="169">
  <si>
    <t>ID</t>
  </si>
  <si>
    <t>QuestionText</t>
  </si>
  <si>
    <t>QuestionCode</t>
  </si>
  <si>
    <t>ExamCode</t>
  </si>
  <si>
    <t>SectionCode</t>
  </si>
  <si>
    <t>question_type</t>
  </si>
  <si>
    <t>Explanation</t>
  </si>
  <si>
    <t>Choice1</t>
  </si>
  <si>
    <t>Choice2</t>
  </si>
  <si>
    <t>Choice3</t>
  </si>
  <si>
    <t>Choice4</t>
  </si>
  <si>
    <t>answer</t>
  </si>
  <si>
    <t>answer_value</t>
  </si>
  <si>
    <t>NumberOfTables</t>
  </si>
  <si>
    <t>Json</t>
  </si>
  <si>
    <t>MCQ</t>
  </si>
  <si>
    <t>$10,000</t>
  </si>
  <si>
    <t>($25,000)</t>
  </si>
  <si>
    <t>$3,000</t>
  </si>
  <si>
    <t>$5,000</t>
  </si>
  <si>
    <t>$1,000</t>
  </si>
  <si>
    <t>$2,000</t>
  </si>
  <si>
    <t>$15,000</t>
  </si>
  <si>
    <t>$20,000</t>
  </si>
  <si>
    <t>$18,000</t>
  </si>
  <si>
    <t>$25,000</t>
  </si>
  <si>
    <t>$7,650</t>
  </si>
  <si>
    <t>10.0%</t>
  </si>
  <si>
    <t>$22,000</t>
  </si>
  <si>
    <t>The statement of comprehensive income.</t>
  </si>
  <si>
    <t>The statement of financial position.</t>
  </si>
  <si>
    <t>$2,500</t>
  </si>
  <si>
    <t>$5,000,000</t>
  </si>
  <si>
    <t>$4,600</t>
  </si>
  <si>
    <t>0%</t>
  </si>
  <si>
    <t>$580,000</t>
  </si>
  <si>
    <t>$6,500,000</t>
  </si>
  <si>
    <t>$595,000</t>
  </si>
  <si>
    <t>$20,800</t>
  </si>
  <si>
    <t>&lt;p&gt;A company provided the following financial information as of and for the year ended December 31, year 1:&lt;/p&gt;
&lt;ul&gt;
	&lt;li&gt;Retained earnings (beginning): $14,000&lt;/li&gt;
	&lt;li&gt;Revenues: $14,000&lt;/li&gt;
	&lt;li&gt;Expenses: $10,000&lt;/li&gt;
	&lt;li&gt;Contributed capital: $5,000&lt;/li&gt;
	&lt;li&gt;Dividends paid: $3,000&lt;/li&gt;
	&lt;li&gt;Cash: $14,000&lt;/li&gt;
	&lt;li&gt;Property, plant and equipment, net: $8,000&lt;/li&gt;
	&lt;li&gt;Accounts payable: $2,000&lt;/li&gt;
&lt;/ul&gt;
&lt;p&gt;What amount of total liabilities and stockholders&amp;rsquo; equity should the company report in its balance sheet as of December 31, year 1?&lt;/p&gt;</t>
  </si>
  <si>
    <t xml:space="preserve">On September 30, year 2, Mead Corp. recognized an $80,000 gain from the disposal of a business segment. In addition, Mead estimated that it will pay annual employee bonuses totaling $48,000 for the year ending December 31, year 2. The bonuses are based on current-year service, and Mead's effective income tax rate is 35%. What is the effect of these two events on Mead's net income for the nine-month interim period ended September 30, year 2? </t>
  </si>
  <si>
    <t xml:space="preserve">$15,600 </t>
  </si>
  <si>
    <t xml:space="preserve">$28,600 </t>
  </si>
  <si>
    <t xml:space="preserve">$32,000 </t>
  </si>
  <si>
    <t>&lt;p&gt;As of January 1, year 1, a company had a beginning balance of $250,000 for its $10 par value common stock. During year 1, the following transactions affecting common stock occurred:&lt;/p&gt;
&lt;ul&gt;
	&lt;li&gt;The company issued 10,000 shares in exchange for equipment with a fair value of $350,000.&lt;/li&gt;
	&lt;li&gt;The company repurchased 500 shares at $40 per share and formally retired the shares.&lt;/li&gt;
&lt;/ul&gt;
&lt;p&gt;The repurchased shares had originally been issued at $36 per share. The company&amp;#39;s accounting policy is to allocate the cost of retired shares against additional paid-in capital and retained earnings. Which of the following amounts should be reported as common stock as of December 31, year 1?&lt;/p&gt;</t>
  </si>
  <si>
    <t>$332,000</t>
  </si>
  <si>
    <t>$345,000</t>
  </si>
  <si>
    <t>&lt;p&gt;ALR Co. began the year with $12,000 in cash and had the following activities during the year:&lt;/p&gt;
&lt;ul&gt;
	&lt;li&gt;Depreciation expense: $20,000&lt;/li&gt;
	&lt;li&gt;Proceeds from sale of plant assets: $50,000&lt;/li&gt;
	&lt;li&gt;Gain on sale of plant assets: $5,300&lt;/li&gt;
	&lt;li&gt;Purchase of equipment: $75,000&lt;/li&gt;
	&lt;li&gt;Net increase in accounts receivable: $11,000&lt;/li&gt;
	&lt;li&gt;Decrease in accounts payable: $5,500&lt;/li&gt;
	&lt;li&gt;Decrease in inventory: $6,400&lt;/li&gt;
	&lt;li&gt;Net income: $325,000&lt;/li&gt;
	&lt;li&gt;Payment of cash dividend: $62,700&lt;/li&gt;
	&lt;li&gt;Issuance of common stock: $42,600&lt;/li&gt;
&lt;/ul&gt;
&lt;p&gt;What amount would be ALR&amp;#39;s cash flow from financing activities for the year?&lt;/p&gt;</t>
  </si>
  <si>
    <t xml:space="preserve">($20,100) </t>
  </si>
  <si>
    <t xml:space="preserve">($13,000) </t>
  </si>
  <si>
    <t>&lt;p&gt;On December 31, year 1, a nongovernmental, not-for-profit entity&amp;#39;s trial balance included liabilities totaling $5,000,000 before considering the following items:&lt;/p&gt;
&lt;ul&gt;
	&lt;li&gt;On May 1, year 1, the entity received the proceeds from a $1,500,000 tax-exempt bond issued by the city where it is located. The cash received was used to pay construction expenditures for a new building, and the revenue collected from its operation will pay the annual interest and bond principal at maturity.&lt;/li&gt;
	&lt;li&gt;On December 1, year 1, the stipulations set forth in a $600,000 fully funded conditional grant were not achieved. As of December 31, year 1, the entity had received no directions from the donor regarding the funds previously received.&lt;/li&gt;
&lt;/ul&gt;
&lt;p&gt;What total liability amount should be reported in the entity&amp;#39;s statement of financial position for December 31, year 1?&lt;/p&gt;</t>
  </si>
  <si>
    <t>$5,600,000</t>
  </si>
  <si>
    <t>$7,100,000</t>
  </si>
  <si>
    <t xml:space="preserve">Certain items are recognized as assets in the government-wide statement of net position but are not recognized in the governmental funds balance sheet because </t>
  </si>
  <si>
    <t>The materiality threshold for financial reporting is typically smaller for government-wide financial statements than for governmental funds financial statements.</t>
  </si>
  <si>
    <t>Assets are recognized using the current financial resources measurement focus for the governmental funds balance sheet and the economic resources measurement focus for the government-wide statement of net position.</t>
  </si>
  <si>
    <t>Assets are defined differently for governmental funds financial reporting than for government-wide financial reporting.</t>
  </si>
  <si>
    <t>The reliability threshold of information reported in a governmental funds balance sheet is set at a higher level than for government-wide reporting.</t>
  </si>
  <si>
    <t>Pursuant to the Securities Exchange Act of 1934, which of the following statements is correct regarding registrant filing requirements with the U.S. Securities and Exchange Commission?</t>
  </si>
  <si>
    <t>A Form 10-K is filed annually, a Form 10-Q is filed quarterly, and a Form 8-K is filed monthly.</t>
  </si>
  <si>
    <t>A company's independent accountants must audit and provide a report on Forms 10-K, 10-Q, and 8-K.</t>
  </si>
  <si>
    <t>Accelerated filers have shorter timeframes and faster deadlines than other filers for filing Forms 10-K, 10-Q, and 8-K.</t>
  </si>
  <si>
    <t>Forms 10-K, 10-Q, and 8-K contain information about a registrant's business operations and material business developments.</t>
  </si>
  <si>
    <t>Which of the following financial statements has been prepared under a special purpose framework?</t>
  </si>
  <si>
    <t>The statement of net assets.</t>
  </si>
  <si>
    <t>The statement of assets and liabilities arising from cash transactions.</t>
  </si>
  <si>
    <t>A corporation historically has had a gross profit margin of 80%. In the current period, the gross profit margin decreased to 75%. Which of the following is the most likely cause of this decrease?</t>
  </si>
  <si>
    <t>Sales decreased by 25%.</t>
  </si>
  <si>
    <t>Sales returns increased by 25%.</t>
  </si>
  <si>
    <t>Cost of goods sold increased by 25%.</t>
  </si>
  <si>
    <t>Sales commissions increased by 25%.</t>
  </si>
  <si>
    <t>A company performed a reconciliation of its cash balance shown in its bank statement to the cash balance recorded in the general ledger. Which of the following items could cause the bank statement balance to be higher than the general ledger balance?</t>
  </si>
  <si>
    <t>A deposit in transit.</t>
  </si>
  <si>
    <t>An outstanding check.</t>
  </si>
  <si>
    <t>An unrecorded bank fee.</t>
  </si>
  <si>
    <t>A scheduled bank loan payment.</t>
  </si>
  <si>
    <t>A company sold its trade receivables with a carrying amount of $200,000 to a factoring company without recourse. The factoring entity remitted 80% of the trade receivables, and the remaining 20% was retained to cover its 5% factoring fee and provide for possible returns and price adjustments. Which of the following journal entries should be prepared by the company to record the factoring transaction?</t>
  </si>
  <si>
    <t>Debit cash $160,000; debit sales returns and allowances $40,000; credit receivables $200,000.</t>
  </si>
  <si>
    <t>Debit cash $160,000; debit interest expense $10,000; debit receivable from factor $30,000; credit trade receivables $200,000.</t>
  </si>
  <si>
    <t>Debit cash $160,000; debit interest expense $10,000; debit sales returns and allowances $30,000; credit trade receivables $200,000.</t>
  </si>
  <si>
    <t>Debit cash $160,000; debit loss on sale of receivables $10,000; debit receivable from factor $30,000; credit trade receivables $200,000.</t>
  </si>
  <si>
    <t>&lt;p&gt;Texas Electronics resold specialized auto parts. The inventory was as follows:&lt;/p&gt;
&lt;table&gt;
	&lt;thead&gt;
		&lt;tr&gt;
			&lt;th&gt;Date&lt;/th&gt;
			&lt;th&gt;Description&lt;/th&gt;
			&lt;th&gt;Units&lt;/th&gt;
			&lt;th&gt;Cost per unit&lt;/th&gt;
			&lt;th&gt;Total cost&lt;/th&gt;
			&lt;th&gt;Balance&lt;/th&gt;
		&lt;/tr&gt;
	&lt;/thead&gt;
	&lt;tbody&gt;
		&lt;tr&gt;
			&lt;td&gt;January 1&lt;/td&gt;
			&lt;td&gt;Beginning inventory&lt;/td&gt;
			&lt;td&gt;100&lt;/td&gt;
			&lt;td&gt;$15&lt;/td&gt;
			&lt;td&gt;$1,500&lt;/td&gt;
			&lt;td&gt;100&lt;/td&gt;
		&lt;/tr&gt;
		&lt;tr&gt;
			&lt;td&gt;April 10&lt;/td&gt;
			&lt;td&gt;Purchase&lt;/td&gt;
			&lt;td&gt;200&lt;/td&gt;
			&lt;td&gt;$16&lt;/td&gt;
			&lt;td&gt;$3,200&lt;/td&gt;
			&lt;td&gt;300&lt;/td&gt;
		&lt;/tr&gt;
		&lt;tr&gt;
			&lt;td&gt;July 20&lt;/td&gt;
			&lt;td&gt;Purchase&lt;/td&gt;
			&lt;td&gt;300&lt;/td&gt;
			&lt;td&gt;$17&lt;/td&gt;
			&lt;td&gt;$5,100&lt;/td&gt;
			&lt;td&gt;600&lt;/td&gt;
		&lt;/tr&gt;
		&lt;tr&gt;
			&lt;td&gt;September 21&lt;/td&gt;
			&lt;td&gt;Sale&lt;/td&gt;
			&lt;td&gt;550&lt;/td&gt;
			&lt;td&gt;$50&lt;/td&gt;
			&lt;td&gt;&lt;/td&gt;
			&lt;td&gt;&lt;/td&gt;
		&lt;/tr&gt;
		&lt;tr&gt;
			&lt;td&gt;December 4&lt;/td&gt;
			&lt;td&gt;Purchase&lt;/td&gt;
			&lt;td&gt;400&lt;/td&gt;
			&lt;td&gt;$18&lt;/td&gt;
			&lt;td&gt;$7,200&lt;/td&gt;
			&lt;td&gt;450&lt;/td&gt;
		&lt;/tr&gt;
	&lt;/tbody&gt;
&lt;/table&gt;
&lt;p&gt;What amount would be the value of the inventory using the first-in, first-out (FIFO) method?&lt;/p&gt;</t>
  </si>
  <si>
    <t>$7,425</t>
  </si>
  <si>
    <t>$7,950</t>
  </si>
  <si>
    <t>$8,050</t>
  </si>
  <si>
    <t>Four years ago, Egan Co. purchased equipment with a useful life of 12 years for $18,000. At the beginning of year 5, it was sold for $17,000. Egan uses the straight-line depreciation method with no salvage value. What amount should Egan report as a gain or loss on the disposal of the equipment?</t>
  </si>
  <si>
    <t xml:space="preserve">$1,000 loss. </t>
  </si>
  <si>
    <t xml:space="preserve">$11,000 gain. </t>
  </si>
  <si>
    <t xml:space="preserve">$6,500 gain. </t>
  </si>
  <si>
    <t xml:space="preserve">5,000 gain. </t>
  </si>
  <si>
    <t>At December 31, year 1, a company had an available-for-sale debt security with an amortized cost of $22,000 and a fair value of $24,000. The security has an allowance for credit loss balance of $500, which did not change during the year because there were no changes in the estimate of current expected credit losses. The investment pays $1,000 interest annually, on December 31. What amount should the company record as part of net income related to the investment for the year ended December 31, year 1?</t>
  </si>
  <si>
    <t>&lt;p&gt;A company holds the following debt securities:&lt;/p&gt;
&lt;table&gt;
	&lt;thead&gt;
		&lt;tr&gt;
			&lt;th&gt;Investment&lt;/th&gt;
			&lt;th&gt;Maturity&lt;/th&gt;
		&lt;/tr&gt;
	&lt;/thead&gt;
	&lt;tbody&gt;
		&lt;tr&gt;
			&lt;td&gt;Corporate bonds&lt;/td&gt;
			&lt;td&gt;20 years&lt;/td&gt;
		&lt;/tr&gt;
		&lt;tr&gt;
			&lt;td&gt;Municipal securities&lt;/td&gt;
			&lt;td&gt;15 years&lt;/td&gt;
		&lt;/tr&gt;
		&lt;tr&gt;
			&lt;td&gt;U.S. Treasury bonds&lt;/td&gt;
			&lt;td&gt;10 years&lt;/td&gt;
		&lt;/tr&gt;
		&lt;tr&gt;
			&lt;td&gt;Convertible debt&lt;/td&gt;
			&lt;td&gt;4 years&lt;/td&gt;
		&lt;/tr&gt;
		&lt;tr&gt;
			&lt;td&gt;Commercial paper&lt;/td&gt;
			&lt;td&gt;10 months&lt;/td&gt;
		&lt;/tr&gt;
	&lt;/tbody&gt;
&lt;/table&gt;
&lt;p&gt;Management would like to hold all investments until maturity, but financial uncertainty could require the sale of the U.S. Treasury bonds and the convertible debt before their maturity dates. Based on this information, which of the following is a complete and accurate list of the investments that should be reported as held-to-maturity securities?&lt;/p&gt;</t>
  </si>
  <si>
    <t>The corporate bonds, the convertible debt, and the municipal securities.</t>
  </si>
  <si>
    <t>The corporate bonds, the convertible debt, and the U.S. Treasury bonds.</t>
  </si>
  <si>
    <t>The corporate bonds, the municipal securities, and the commercial paper.</t>
  </si>
  <si>
    <t>The corporate bonds, the municipal securities, and the U.S. Treasury bonds.</t>
  </si>
  <si>
    <t>Alpha Co. acquires a 20% interest in Beta Co., which is owned by two individuals. Alpha's president becomes one of three voting members of Beta's board of directors. Alpha has not elected the fair value option. How should Alpha account for its investment in Beta?</t>
  </si>
  <si>
    <t>As a cost-basis investment.</t>
  </si>
  <si>
    <t>As an equity method investment.</t>
  </si>
  <si>
    <t>At fair value.</t>
  </si>
  <si>
    <t>As a consolidated subsidiary.</t>
  </si>
  <si>
    <t>Jahn Co. is sponsoring a management retreat on July 15. Jahn was required to pay $5,000 when the contract is signed on June 15. Jahn will be invoiced for the remaining $15,000 balance of the contract on August 15. Payment in full is due on September 15. What amount should Jahn recognize as an expense in the third quarter of the year?</t>
  </si>
  <si>
    <t>A company has outstanding $1,000,000 face value, zero-coupon bonds. The unamortized discount on the bonds as of January 1, year 2 is $300,000. The unamortized discount is $230,000 as of December 31, year 2. The company uses the effective interest method of amortizing bond discounts and premiums. What is the effective interest rate on these bonds?</t>
  </si>
  <si>
    <t>7.0%</t>
  </si>
  <si>
    <t>9.1%</t>
  </si>
  <si>
    <t>At December 31, year 1, a company omitted the usual adjusting entry for the accrual of interest on notes payable. The note and the interest on the note will be paid on April 30, year 2. What is the effect of this error on the company's December 31, year 1, financial statements?</t>
  </si>
  <si>
    <t>Net income is understated.</t>
  </si>
  <si>
    <t>Current assets are overstated.</t>
  </si>
  <si>
    <t>Interest expense is overstated.</t>
  </si>
  <si>
    <t>Current liabilities are understated.</t>
  </si>
  <si>
    <t xml:space="preserve">In a situation when a nonmonetary asset is destroyed in one accounting period and the insurance proceeds are not determinable until a subsequent accounting period, a gain or loss is recognized in accordance with accounting for </t>
  </si>
  <si>
    <t>Contingencies.</t>
  </si>
  <si>
    <t>Estimates.</t>
  </si>
  <si>
    <t>Impairments.</t>
  </si>
  <si>
    <t>Disposal of long-lived assets.</t>
  </si>
  <si>
    <t>For a customer to have obtained control of a product in a bill-and-hold arrangement, each of the following criteria should be met, except:</t>
  </si>
  <si>
    <t>The reason for the bill-and-hold arrangement must be substantive.</t>
  </si>
  <si>
    <t>The product must be identified separately as belonging to the customer.</t>
  </si>
  <si>
    <t>The entity cannot have the ability to direct the product to another customer.</t>
  </si>
  <si>
    <t>A fixed schedule for delivery of the good must exist and be consistent with the buyer's business purpose.</t>
  </si>
  <si>
    <t>Each of the following statements is correct regarding when an enterprise is initially recognizing the financial statement effects of a tax position using the more-likely-than-not criterion of uncertain income tax positions, except:</t>
  </si>
  <si>
    <t>A legal tax opinion received from a third party is required support for an entity's tax position.</t>
  </si>
  <si>
    <t>It shall be presumed that the tax position will be examined by the relevant taxing authority that has full knowledge of all relevant information.</t>
  </si>
  <si>
    <t>Technical merits of a tax position derive from sources of authorities in the tax law and their applicability to the facts and circumstances of the tax position.</t>
  </si>
  <si>
    <t>Each tax position must be evaluated without consideration of the possibility of offset or aggregation with other positions.</t>
  </si>
  <si>
    <t xml:space="preserve">The fair value option can be applied only to </t>
  </si>
  <si>
    <t>An entire instrument.</t>
  </si>
  <si>
    <t>Specified risks of an instrument.</t>
  </si>
  <si>
    <t>Investments in subsidiaries requiring consolidation.</t>
  </si>
  <si>
    <t>Postemployment benefits.</t>
  </si>
  <si>
    <t>Which of the following statements is correct regarding the impact to a lessee of a residual value guarantee included in a lease?</t>
  </si>
  <si>
    <t>A significant residual value guarantee by the lessee will not affect the eligibility of an arrangement to be a sale leaseback transaction.</t>
  </si>
  <si>
    <t>A change in the probable amount owed by the lessee under the residual value guarantee requires remeasurement of the lease payments.</t>
  </si>
  <si>
    <t>A change in the probable amount owed by the lessee under the residual value guarantee requires updating the discount rate for the lease.</t>
  </si>
  <si>
    <t>The existence and terms and conditions of the residual value guarantee provided by the lessee are not required to be disclosed in the notes to the lessee's financial statements.</t>
  </si>
  <si>
    <t xml:space="preserve">On January 31, year 2, before the year 1 financial statements were issued, Hiller Co. agreed to settle a class action lawsuit filed in year 1 over false advertising claims. No liability had been previously accrued. The settlement will result in the dismissal of all claims against Hiller in exchange for $12 million. How should Hiller report this material liability in its year 1 financial statements? </t>
  </si>
  <si>
    <t>The liability should not be recorded or reported.</t>
  </si>
  <si>
    <t>Record a liability and loss, and disclose in the notes.</t>
  </si>
  <si>
    <t>Disclose in the notes, but not record a liability and loss.</t>
  </si>
  <si>
    <t>Record a liability and loss, but not disclose in the notes.</t>
  </si>
  <si>
    <t>Sales</t>
  </si>
  <si>
    <t>COGS</t>
  </si>
  <si>
    <t>Gross Profit</t>
  </si>
  <si>
    <t>%</t>
  </si>
  <si>
    <t>Historically</t>
  </si>
  <si>
    <t>we assume COGS also proportionally decreases by 25%</t>
  </si>
  <si>
    <t>If Revenue goes down by $25 from returns then it means COGS also gets increased by 25</t>
  </si>
  <si>
    <t xml:space="preserve">Commissions are part of G&amp;A expense, so they affect further down income statement. Not affecting gross profit. </t>
  </si>
  <si>
    <t>A</t>
  </si>
  <si>
    <t>B</t>
  </si>
  <si>
    <t>D</t>
  </si>
  <si>
    <t>We didn't get rid of all $200,000. We only get rid of 80% of it $160,000.</t>
  </si>
  <si>
    <t>We get paid 80% of that since they keep 5% for the fee and the other 15% for possible returns (Due to Factor).</t>
  </si>
  <si>
    <t xml:space="preserve">This is a buffer the factoring bank makes in case they receive less from the AR than expected. </t>
  </si>
  <si>
    <t xml:space="preserve">Without recourse means that even if the customer doesn't pay this back, the bank cannot come back to us for the amount. We are off the hook, so we write it off our books. </t>
  </si>
  <si>
    <t>Factoring means we need money know instead of waiting for customer to pay us so we'll get cash from the bank now (with a fee) and then the bank will collect the AR from the customer.</t>
  </si>
  <si>
    <t>Debit</t>
  </si>
  <si>
    <t>Credit</t>
  </si>
  <si>
    <t>AR</t>
  </si>
  <si>
    <t>Factoring Fee</t>
  </si>
  <si>
    <t>Due from factor</t>
  </si>
  <si>
    <t>Cash</t>
  </si>
  <si>
    <t>What they should have done…</t>
  </si>
  <si>
    <t>Interest Expense</t>
  </si>
  <si>
    <t>XXX</t>
  </si>
  <si>
    <t>Interest Payable</t>
  </si>
  <si>
    <t xml:space="preserve">they should have recorded an expense, which would have lowered net income. Not affected principal of the note payable. </t>
  </si>
  <si>
    <t>So net income is now overstated.</t>
  </si>
  <si>
    <t>And since we didn’t record interest payable, then current liabitlites are understated.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</si>
</sst>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Alignment="1">
      <alignment wrapText="1"/>
    </xf>
    <xf numFmtId="0" fontId="0" fillId="0" borderId="0" xfId="0" quotePrefix="1"/>
    <xf numFmtId="6" fontId="0" fillId="0" borderId="0" xfId="0" applyNumberFormat="1"/>
    <xf numFmtId="8" fontId="0" fillId="0" borderId="0" xfId="0" applyNumberFormat="1"/>
    <xf numFmtId="9" fontId="0" fillId="0" borderId="0" xfId="1" applyFont="1"/>
    <xf numFmtId="0" fontId="2" fillId="0" borderId="0" xfId="0" applyFont="1"/>
    <xf numFmtId="0" fontId="0" fillId="2" borderId="0" xfId="0" applyFill="1"/>
    <xf numFmtId="6" fontId="0" fillId="2" borderId="0" xfId="0" applyNumberFormat="1" applyFill="1"/>
    <xf numFmtId="8" fontId="0" fillId="2" borderId="0" xfId="0" applyNumberFormat="1" applyFill="1"/>
    <xf numFmtId="9" fontId="0" fillId="2" borderId="0" xfId="1" applyFont="1" applyFill="1"/>
    <xf numFmtId="0" fontId="0" fillId="0" borderId="0" xfId="0" applyAlignment="1">
      <alignment horizontal="center" wrapText="1"/>
    </xf>
    <xf numFmtId="0" fontId="0" fillId="0" borderId="0" xfId="0" applyAlignment="1">
      <alignment horizontal="right"/>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tabSelected="1" zoomScale="150" workbookViewId="0">
      <selection activeCell="O4" sqref="O4"/>
    </sheetView>
  </sheetViews>
  <sheetFormatPr baseColWidth="10" defaultColWidth="8.83203125" defaultRowHeight="15"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ht="18" customHeight="1" x14ac:dyDescent="0.2">
      <c r="B2" s="1" t="s">
        <v>39</v>
      </c>
      <c r="C2">
        <v>19050</v>
      </c>
      <c r="D2">
        <v>1</v>
      </c>
      <c r="E2">
        <v>9</v>
      </c>
      <c r="F2" t="s">
        <v>15</v>
      </c>
      <c r="H2" s="2" t="s">
        <v>25</v>
      </c>
      <c r="I2" s="2" t="s">
        <v>28</v>
      </c>
      <c r="J2" s="2" t="s">
        <v>23</v>
      </c>
      <c r="K2" s="2" t="s">
        <v>24</v>
      </c>
      <c r="L2" t="s">
        <v>8</v>
      </c>
      <c r="M2" s="3"/>
      <c r="O2" t="str">
        <f>_xlfn.CONCAT(B2,H2,I2,J2,K2,L2)</f>
        <v>&lt;p&gt;A company provided the following financial information as of and for the year ended December 31, year 1:&lt;/p&gt;
&lt;ul&gt;
	&lt;li&gt;Retained earnings (beginning): $14,000&lt;/li&gt;
	&lt;li&gt;Revenues: $14,000&lt;/li&gt;
	&lt;li&gt;Expenses: $10,000&lt;/li&gt;
	&lt;li&gt;Contributed capital: $5,000&lt;/li&gt;
	&lt;li&gt;Dividends paid: $3,000&lt;/li&gt;
	&lt;li&gt;Cash: $14,000&lt;/li&gt;
	&lt;li&gt;Property, plant and equipment, net: $8,000&lt;/li&gt;
	&lt;li&gt;Accounts payable: $2,000&lt;/li&gt;
&lt;/ul&gt;
&lt;p&gt;What amount of total liabilities and stockholders&amp;rsquo; equity should the company report in its balance sheet as of December 31, year 1?&lt;/p&gt;$25,000$22,000$20,000$18,000Choice2</v>
      </c>
    </row>
    <row r="3" spans="1:15" x14ac:dyDescent="0.2">
      <c r="B3" t="s">
        <v>40</v>
      </c>
      <c r="C3">
        <v>121051</v>
      </c>
      <c r="D3">
        <v>1</v>
      </c>
      <c r="E3">
        <v>21</v>
      </c>
      <c r="F3" t="s">
        <v>15</v>
      </c>
      <c r="H3" s="2" t="s">
        <v>41</v>
      </c>
      <c r="I3" s="2" t="s">
        <v>38</v>
      </c>
      <c r="J3" s="2" t="s">
        <v>42</v>
      </c>
      <c r="K3" s="2" t="s">
        <v>43</v>
      </c>
      <c r="L3" t="s">
        <v>9</v>
      </c>
      <c r="O3" t="str">
        <f>_xlfn.CONCAT(B3,H3,I3,J3,K3,L3)</f>
        <v>On September 30, year 2, Mead Corp. recognized an $80,000 gain from the disposal of a business segment. In addition, Mead estimated that it will pay annual employee bonuses totaling $48,000 for the year ending December 31, year 2. The bonuses are based on current-year service, and Mead's effective income tax rate is 35%. What is the effect of these two events on Mead's net income for the nine-month interim period ended September 30, year 2? $15,600 $20,800$28,600 $32,000 Choice3</v>
      </c>
    </row>
    <row r="4" spans="1:15" ht="17" customHeight="1" x14ac:dyDescent="0.2">
      <c r="B4" s="1" t="s">
        <v>44</v>
      </c>
      <c r="C4">
        <v>19051</v>
      </c>
      <c r="D4">
        <v>1</v>
      </c>
      <c r="E4">
        <v>9</v>
      </c>
      <c r="F4" t="s">
        <v>15</v>
      </c>
      <c r="H4" s="2" t="s">
        <v>45</v>
      </c>
      <c r="I4" s="2" t="s">
        <v>46</v>
      </c>
      <c r="J4" s="2" t="s">
        <v>35</v>
      </c>
      <c r="K4" s="2" t="s">
        <v>37</v>
      </c>
      <c r="L4" t="s">
        <v>8</v>
      </c>
      <c r="O4" t="str">
        <f>_xlfn.CONCAT(B4,H4,I4,J4,K4,L4)</f>
        <v>&lt;p&gt;As of January 1, year 1, a company had a beginning balance of $250,000 for its $10 par value common stock. During year 1, the following transactions affecting common stock occurred:&lt;/p&gt;
&lt;ul&gt;
	&lt;li&gt;The company issued 10,000 shares in exchange for equipment with a fair value of $350,000.&lt;/li&gt;
	&lt;li&gt;The company repurchased 500 shares at $40 per share and formally retired the shares.&lt;/li&gt;
&lt;/ul&gt;
&lt;p&gt;The repurchased shares had originally been issued at $36 per share. The company&amp;#39;s accounting policy is to allocate the cost of retired shares against additional paid-in capital and retained earnings. Which of the following amounts should be reported as common stock as of December 31, year 1?&lt;/p&gt;$332,000$345,000$580,000$595,000Choice2</v>
      </c>
    </row>
    <row r="5" spans="1:15" ht="16" customHeight="1" x14ac:dyDescent="0.2">
      <c r="B5" s="1" t="s">
        <v>47</v>
      </c>
      <c r="C5">
        <v>113050</v>
      </c>
      <c r="D5">
        <v>1</v>
      </c>
      <c r="E5">
        <v>13</v>
      </c>
      <c r="F5" t="s">
        <v>15</v>
      </c>
      <c r="H5" s="2" t="s">
        <v>17</v>
      </c>
      <c r="I5" s="2" t="s">
        <v>48</v>
      </c>
      <c r="J5" s="2" t="s">
        <v>49</v>
      </c>
      <c r="K5" s="2" t="s">
        <v>33</v>
      </c>
      <c r="L5" t="s">
        <v>8</v>
      </c>
      <c r="O5" t="str">
        <f>_xlfn.CONCAT(B5,H5,I5,J5,K5,L5)</f>
        <v>&lt;p&gt;ALR Co. began the year with $12,000 in cash and had the following activities during the year:&lt;/p&gt;
&lt;ul&gt;
	&lt;li&gt;Depreciation expense: $20,000&lt;/li&gt;
	&lt;li&gt;Proceeds from sale of plant assets: $50,000&lt;/li&gt;
	&lt;li&gt;Gain on sale of plant assets: $5,300&lt;/li&gt;
	&lt;li&gt;Purchase of equipment: $75,000&lt;/li&gt;
	&lt;li&gt;Net increase in accounts receivable: $11,000&lt;/li&gt;
	&lt;li&gt;Decrease in accounts payable: $5,500&lt;/li&gt;
	&lt;li&gt;Decrease in inventory: $6,400&lt;/li&gt;
	&lt;li&gt;Net income: $325,000&lt;/li&gt;
	&lt;li&gt;Payment of cash dividend: $62,700&lt;/li&gt;
	&lt;li&gt;Issuance of common stock: $42,600&lt;/li&gt;
&lt;/ul&gt;
&lt;p&gt;What amount would be ALR&amp;#39;s cash flow from financing activities for the year?&lt;/p&gt;($25,000)($20,100) ($13,000) $4,600Choice2</v>
      </c>
    </row>
    <row r="6" spans="1:15" ht="16" customHeight="1" x14ac:dyDescent="0.2">
      <c r="B6" s="1" t="s">
        <v>50</v>
      </c>
      <c r="C6">
        <v>123050</v>
      </c>
      <c r="D6">
        <v>1</v>
      </c>
      <c r="E6">
        <v>23</v>
      </c>
      <c r="F6" t="s">
        <v>15</v>
      </c>
      <c r="H6" s="2" t="s">
        <v>32</v>
      </c>
      <c r="I6" s="2" t="s">
        <v>51</v>
      </c>
      <c r="J6" s="2" t="s">
        <v>36</v>
      </c>
      <c r="K6" s="2" t="s">
        <v>52</v>
      </c>
      <c r="L6" t="s">
        <v>10</v>
      </c>
      <c r="O6" t="str">
        <f>_xlfn.CONCAT(B6,H6,I6,J6,K6,L6)</f>
        <v>&lt;p&gt;On December 31, year 1, a nongovernmental, not-for-profit entity&amp;#39;s trial balance included liabilities totaling $5,000,000 before considering the following items:&lt;/p&gt;
&lt;ul&gt;
	&lt;li&gt;On May 1, year 1, the entity received the proceeds from a $1,500,000 tax-exempt bond issued by the city where it is located. The cash received was used to pay construction expenditures for a new building, and the revenue collected from its operation will pay the annual interest and bond principal at maturity.&lt;/li&gt;
	&lt;li&gt;On December 1, year 1, the stipulations set forth in a $600,000 fully funded conditional grant were not achieved. As of December 31, year 1, the entity had received no directions from the donor regarding the funds previously received.&lt;/li&gt;
&lt;/ul&gt;
&lt;p&gt;What total liability amount should be reported in the entity&amp;#39;s statement of financial position for December 31, year 1?&lt;/p&gt;$5,000,000$5,600,000$6,500,000$7,100,000Choice4</v>
      </c>
    </row>
    <row r="7" spans="1:15" ht="17" customHeight="1" x14ac:dyDescent="0.2">
      <c r="B7" s="1" t="s">
        <v>53</v>
      </c>
      <c r="C7">
        <v>125050</v>
      </c>
      <c r="D7">
        <v>1</v>
      </c>
      <c r="E7">
        <v>25</v>
      </c>
      <c r="F7" t="s">
        <v>15</v>
      </c>
      <c r="H7" t="s">
        <v>56</v>
      </c>
      <c r="I7" t="s">
        <v>54</v>
      </c>
      <c r="J7" t="s">
        <v>55</v>
      </c>
      <c r="K7" t="s">
        <v>57</v>
      </c>
      <c r="L7" t="s">
        <v>9</v>
      </c>
      <c r="O7" t="str">
        <f>_xlfn.CONCAT(B7,H7,I7,J7,K7,L7)</f>
        <v>Certain items are recognized as assets in the government-wide statement of net position but are not recognized in the governmental funds balance sheet because Assets are defined differently for governmental funds financial reporting than for government-wide financial reporting.The materiality threshold for financial reporting is typically smaller for government-wide financial statements than for governmental funds financial statements.Assets are recognized using the current financial resources measurement focus for the governmental funds balance sheet and the economic resources measurement focus for the government-wide statement of net position.The reliability threshold of information reported in a governmental funds balance sheet is set at a higher level than for government-wide reporting.Choice3</v>
      </c>
    </row>
    <row r="8" spans="1:15" ht="16" customHeight="1" x14ac:dyDescent="0.2">
      <c r="B8" s="1" t="s">
        <v>58</v>
      </c>
      <c r="C8">
        <v>121050</v>
      </c>
      <c r="D8">
        <v>1</v>
      </c>
      <c r="E8">
        <v>21</v>
      </c>
      <c r="F8" t="s">
        <v>15</v>
      </c>
      <c r="H8" t="s">
        <v>59</v>
      </c>
      <c r="I8" t="s">
        <v>60</v>
      </c>
      <c r="J8" t="s">
        <v>61</v>
      </c>
      <c r="K8" t="s">
        <v>62</v>
      </c>
      <c r="L8" t="s">
        <v>10</v>
      </c>
      <c r="O8" t="str">
        <f>_xlfn.CONCAT(B8,H8,I8,J8,K8,L8)</f>
        <v>Pursuant to the Securities Exchange Act of 1934, which of the following statements is correct regarding registrant filing requirements with the U.S. Securities and Exchange Commission?A Form 10-K is filed annually, a Form 10-Q is filed quarterly, and a Form 8-K is filed monthly.A company's independent accountants must audit and provide a report on Forms 10-K, 10-Q, and 8-K.Accelerated filers have shorter timeframes and faster deadlines than other filers for filing Forms 10-K, 10-Q, and 8-K.Forms 10-K, 10-Q, and 8-K contain information about a registrant's business operations and material business developments.Choice4</v>
      </c>
    </row>
    <row r="9" spans="1:15" ht="15" customHeight="1" x14ac:dyDescent="0.2">
      <c r="B9" s="1" t="s">
        <v>63</v>
      </c>
      <c r="C9">
        <v>121052</v>
      </c>
      <c r="D9">
        <v>1</v>
      </c>
      <c r="E9">
        <v>21</v>
      </c>
      <c r="F9" t="s">
        <v>15</v>
      </c>
      <c r="H9" t="s">
        <v>30</v>
      </c>
      <c r="I9" t="s">
        <v>64</v>
      </c>
      <c r="J9" t="s">
        <v>65</v>
      </c>
      <c r="K9" t="s">
        <v>29</v>
      </c>
      <c r="L9" t="s">
        <v>9</v>
      </c>
      <c r="O9" t="str">
        <f>_xlfn.CONCAT(B9,H9,I9,J9,K9,L9)</f>
        <v>Which of the following financial statements has been prepared under a special purpose framework?The statement of financial position.The statement of net assets.The statement of assets and liabilities arising from cash transactions.The statement of comprehensive income.Choice3</v>
      </c>
    </row>
    <row r="10" spans="1:15" ht="17" customHeight="1" x14ac:dyDescent="0.2">
      <c r="B10" s="1" t="s">
        <v>66</v>
      </c>
      <c r="C10">
        <v>126050</v>
      </c>
      <c r="D10">
        <v>1</v>
      </c>
      <c r="E10">
        <v>26</v>
      </c>
      <c r="F10" t="s">
        <v>15</v>
      </c>
      <c r="H10" t="s">
        <v>67</v>
      </c>
      <c r="I10" t="s">
        <v>68</v>
      </c>
      <c r="J10" t="s">
        <v>69</v>
      </c>
      <c r="K10" t="s">
        <v>70</v>
      </c>
      <c r="L10" t="s">
        <v>9</v>
      </c>
      <c r="O10" t="str">
        <f>_xlfn.CONCAT(B10,H10,I10,J10,K10,L10)</f>
        <v>A corporation historically has had a gross profit margin of 80%. In the current period, the gross profit margin decreased to 75%. Which of the following is the most likely cause of this decrease?Sales decreased by 25%.Sales returns increased by 25%.Cost of goods sold increased by 25%.Sales commissions increased by 25%.Choice3</v>
      </c>
    </row>
    <row r="11" spans="1:15" ht="15" customHeight="1" x14ac:dyDescent="0.2">
      <c r="B11" s="1" t="s">
        <v>71</v>
      </c>
      <c r="C11">
        <v>11050</v>
      </c>
      <c r="D11">
        <v>1</v>
      </c>
      <c r="E11">
        <v>1</v>
      </c>
      <c r="F11" t="s">
        <v>15</v>
      </c>
      <c r="H11" t="s">
        <v>72</v>
      </c>
      <c r="I11" t="s">
        <v>73</v>
      </c>
      <c r="J11" t="s">
        <v>74</v>
      </c>
      <c r="K11" t="s">
        <v>75</v>
      </c>
      <c r="L11" t="s">
        <v>8</v>
      </c>
      <c r="O11" t="str">
        <f>_xlfn.CONCAT(B11,H11,I11,J11,K11,L11)</f>
        <v>A company performed a reconciliation of its cash balance shown in its bank statement to the cash balance recorded in the general ledger. Which of the following items could cause the bank statement balance to be higher than the general ledger balance?A deposit in transit.An outstanding check.An unrecorded bank fee.A scheduled bank loan payment.Choice2</v>
      </c>
    </row>
    <row r="12" spans="1:15" ht="15" customHeight="1" x14ac:dyDescent="0.2">
      <c r="B12" s="1" t="s">
        <v>76</v>
      </c>
      <c r="C12">
        <v>12050</v>
      </c>
      <c r="D12">
        <v>1</v>
      </c>
      <c r="E12">
        <v>2</v>
      </c>
      <c r="F12" t="s">
        <v>15</v>
      </c>
      <c r="H12" t="s">
        <v>77</v>
      </c>
      <c r="I12" t="s">
        <v>78</v>
      </c>
      <c r="J12" t="s">
        <v>79</v>
      </c>
      <c r="K12" t="s">
        <v>80</v>
      </c>
      <c r="L12" t="s">
        <v>10</v>
      </c>
      <c r="O12" t="str">
        <f>_xlfn.CONCAT(B12,H12,I12,J12,K12,L12)</f>
        <v>A company sold its trade receivables with a carrying amount of $200,000 to a factoring company without recourse. The factoring entity remitted 80% of the trade receivables, and the remaining 20% was retained to cover its 5% factoring fee and provide for possible returns and price adjustments. Which of the following journal entries should be prepared by the company to record the factoring transaction?Debit cash $160,000; debit sales returns and allowances $40,000; credit receivables $200,000.Debit cash $160,000; debit interest expense $10,000; debit receivable from factor $30,000; credit trade receivables $200,000.Debit cash $160,000; debit interest expense $10,000; debit sales returns and allowances $30,000; credit trade receivables $200,000.Debit cash $160,000; debit loss on sale of receivables $10,000; debit receivable from factor $30,000; credit trade receivables $200,000.Choice4</v>
      </c>
    </row>
    <row r="13" spans="1:15" ht="18" customHeight="1" x14ac:dyDescent="0.2">
      <c r="B13" s="1" t="s">
        <v>81</v>
      </c>
      <c r="C13">
        <v>13050</v>
      </c>
      <c r="D13">
        <v>1</v>
      </c>
      <c r="E13">
        <v>3</v>
      </c>
      <c r="F13" t="s">
        <v>15</v>
      </c>
      <c r="H13" s="2" t="s">
        <v>26</v>
      </c>
      <c r="I13" s="2" t="s">
        <v>82</v>
      </c>
      <c r="J13" s="2" t="s">
        <v>83</v>
      </c>
      <c r="K13" s="2" t="s">
        <v>84</v>
      </c>
      <c r="L13" t="s">
        <v>10</v>
      </c>
      <c r="O13" t="str">
        <f>_xlfn.CONCAT(B13,H13,I13,J13,K13,L13)</f>
        <v>&lt;p&gt;Texas Electronics resold specialized auto parts. The inventory was as follows:&lt;/p&gt;
&lt;table&gt;
	&lt;thead&gt;
		&lt;tr&gt;
			&lt;th&gt;Date&lt;/th&gt;
			&lt;th&gt;Description&lt;/th&gt;
			&lt;th&gt;Units&lt;/th&gt;
			&lt;th&gt;Cost per unit&lt;/th&gt;
			&lt;th&gt;Total cost&lt;/th&gt;
			&lt;th&gt;Balance&lt;/th&gt;
		&lt;/tr&gt;
	&lt;/thead&gt;
	&lt;tbody&gt;
		&lt;tr&gt;
			&lt;td&gt;January 1&lt;/td&gt;
			&lt;td&gt;Beginning inventory&lt;/td&gt;
			&lt;td&gt;100&lt;/td&gt;
			&lt;td&gt;$15&lt;/td&gt;
			&lt;td&gt;$1,500&lt;/td&gt;
			&lt;td&gt;100&lt;/td&gt;
		&lt;/tr&gt;
		&lt;tr&gt;
			&lt;td&gt;April 10&lt;/td&gt;
			&lt;td&gt;Purchase&lt;/td&gt;
			&lt;td&gt;200&lt;/td&gt;
			&lt;td&gt;$16&lt;/td&gt;
			&lt;td&gt;$3,200&lt;/td&gt;
			&lt;td&gt;300&lt;/td&gt;
		&lt;/tr&gt;
		&lt;tr&gt;
			&lt;td&gt;July 20&lt;/td&gt;
			&lt;td&gt;Purchase&lt;/td&gt;
			&lt;td&gt;300&lt;/td&gt;
			&lt;td&gt;$17&lt;/td&gt;
			&lt;td&gt;$5,100&lt;/td&gt;
			&lt;td&gt;600&lt;/td&gt;
		&lt;/tr&gt;
		&lt;tr&gt;
			&lt;td&gt;September 21&lt;/td&gt;
			&lt;td&gt;Sale&lt;/td&gt;
			&lt;td&gt;550&lt;/td&gt;
			&lt;td&gt;$50&lt;/td&gt;
			&lt;td&gt;&lt;/td&gt;
			&lt;td&gt;&lt;/td&gt;
		&lt;/tr&gt;
		&lt;tr&gt;
			&lt;td&gt;December 4&lt;/td&gt;
			&lt;td&gt;Purchase&lt;/td&gt;
			&lt;td&gt;400&lt;/td&gt;
			&lt;td&gt;$18&lt;/td&gt;
			&lt;td&gt;$7,200&lt;/td&gt;
			&lt;td&gt;450&lt;/td&gt;
		&lt;/tr&gt;
	&lt;/tbody&gt;
&lt;/table&gt;
&lt;p&gt;What amount would be the value of the inventory using the first-in, first-out (FIFO) method?&lt;/p&gt;$7,650$7,425$7,950$8,050Choice4</v>
      </c>
    </row>
    <row r="14" spans="1:15" ht="16" customHeight="1" x14ac:dyDescent="0.2">
      <c r="B14" s="1" t="s">
        <v>85</v>
      </c>
      <c r="C14">
        <v>15050</v>
      </c>
      <c r="D14">
        <v>1</v>
      </c>
      <c r="E14">
        <v>5</v>
      </c>
      <c r="F14" t="s">
        <v>15</v>
      </c>
      <c r="H14" t="s">
        <v>86</v>
      </c>
      <c r="I14" t="s">
        <v>87</v>
      </c>
      <c r="J14" t="s">
        <v>88</v>
      </c>
      <c r="K14" t="s">
        <v>89</v>
      </c>
      <c r="L14" t="s">
        <v>10</v>
      </c>
      <c r="O14" t="str">
        <f>_xlfn.CONCAT(B14,H14,I14,J14,K14,L14)</f>
        <v>Four years ago, Egan Co. purchased equipment with a useful life of 12 years for $18,000. At the beginning of year 5, it was sold for $17,000. Egan uses the straight-line depreciation method with no salvage value. What amount should Egan report as a gain or loss on the disposal of the equipment?$1,000 loss. $11,000 gain. $6,500 gain. 5,000 gain. Choice4</v>
      </c>
    </row>
    <row r="15" spans="1:15" ht="16" customHeight="1" x14ac:dyDescent="0.2">
      <c r="B15" s="1" t="s">
        <v>90</v>
      </c>
      <c r="C15">
        <v>14090</v>
      </c>
      <c r="D15">
        <v>1</v>
      </c>
      <c r="E15">
        <v>4</v>
      </c>
      <c r="F15" t="s">
        <v>15</v>
      </c>
      <c r="H15" s="2" t="s">
        <v>20</v>
      </c>
      <c r="I15" s="2" t="s">
        <v>21</v>
      </c>
      <c r="J15" s="2" t="s">
        <v>31</v>
      </c>
      <c r="K15" s="2" t="s">
        <v>18</v>
      </c>
      <c r="L15" t="s">
        <v>7</v>
      </c>
      <c r="O15" t="str">
        <f>_xlfn.CONCAT(B15,H15,I15,J15,K15,L15)</f>
        <v>At December 31, year 1, a company had an available-for-sale debt security with an amortized cost of $22,000 and a fair value of $24,000. The security has an allowance for credit loss balance of $500, which did not change during the year because there were no changes in the estimate of current expected credit losses. The investment pays $1,000 interest annually, on December 31. What amount should the company record as part of net income related to the investment for the year ended December 31, year 1?$1,000$2,000$2,500$3,000Choice1</v>
      </c>
    </row>
    <row r="16" spans="1:15" ht="15" customHeight="1" x14ac:dyDescent="0.2">
      <c r="B16" s="1" t="s">
        <v>91</v>
      </c>
      <c r="C16">
        <v>14091</v>
      </c>
      <c r="D16">
        <v>1</v>
      </c>
      <c r="E16">
        <v>4</v>
      </c>
      <c r="F16" t="s">
        <v>15</v>
      </c>
      <c r="H16" t="s">
        <v>92</v>
      </c>
      <c r="I16" t="s">
        <v>93</v>
      </c>
      <c r="J16" t="s">
        <v>94</v>
      </c>
      <c r="K16" t="s">
        <v>95</v>
      </c>
      <c r="L16" t="s">
        <v>9</v>
      </c>
      <c r="O16" t="str">
        <f>_xlfn.CONCAT(B16,H16,I16,J16,K16,L16)</f>
        <v>&lt;p&gt;A company holds the following debt securities:&lt;/p&gt;
&lt;table&gt;
	&lt;thead&gt;
		&lt;tr&gt;
			&lt;th&gt;Investment&lt;/th&gt;
			&lt;th&gt;Maturity&lt;/th&gt;
		&lt;/tr&gt;
	&lt;/thead&gt;
	&lt;tbody&gt;
		&lt;tr&gt;
			&lt;td&gt;Corporate bonds&lt;/td&gt;
			&lt;td&gt;20 years&lt;/td&gt;
		&lt;/tr&gt;
		&lt;tr&gt;
			&lt;td&gt;Municipal securities&lt;/td&gt;
			&lt;td&gt;15 years&lt;/td&gt;
		&lt;/tr&gt;
		&lt;tr&gt;
			&lt;td&gt;U.S. Treasury bonds&lt;/td&gt;
			&lt;td&gt;10 years&lt;/td&gt;
		&lt;/tr&gt;
		&lt;tr&gt;
			&lt;td&gt;Convertible debt&lt;/td&gt;
			&lt;td&gt;4 years&lt;/td&gt;
		&lt;/tr&gt;
		&lt;tr&gt;
			&lt;td&gt;Commercial paper&lt;/td&gt;
			&lt;td&gt;10 months&lt;/td&gt;
		&lt;/tr&gt;
	&lt;/tbody&gt;
&lt;/table&gt;
&lt;p&gt;Management would like to hold all investments until maturity, but financial uncertainty could require the sale of the U.S. Treasury bonds and the convertible debt before their maturity dates. Based on this information, which of the following is a complete and accurate list of the investments that should be reported as held-to-maturity securities?&lt;/p&gt;The corporate bonds, the convertible debt, and the municipal securities.The corporate bonds, the convertible debt, and the U.S. Treasury bonds.The corporate bonds, the municipal securities, and the commercial paper.The corporate bonds, the municipal securities, and the U.S. Treasury bonds.Choice3</v>
      </c>
    </row>
    <row r="17" spans="2:15" ht="17" customHeight="1" x14ac:dyDescent="0.2">
      <c r="B17" s="1" t="s">
        <v>96</v>
      </c>
      <c r="C17">
        <v>14092</v>
      </c>
      <c r="D17">
        <v>1</v>
      </c>
      <c r="E17">
        <v>4</v>
      </c>
      <c r="F17" t="s">
        <v>15</v>
      </c>
      <c r="H17" t="s">
        <v>97</v>
      </c>
      <c r="I17" t="s">
        <v>98</v>
      </c>
      <c r="J17" t="s">
        <v>99</v>
      </c>
      <c r="K17" t="s">
        <v>100</v>
      </c>
      <c r="L17" t="s">
        <v>8</v>
      </c>
      <c r="O17" t="str">
        <f>_xlfn.CONCAT(B17,H17,I17,J17,K17,L17)</f>
        <v>Alpha Co. acquires a 20% interest in Beta Co., which is owned by two individuals. Alpha's president becomes one of three voting members of Beta's board of directors. Alpha has not elected the fair value option. How should Alpha account for its investment in Beta?As a cost-basis investment.As an equity method investment.At fair value.As a consolidated subsidiary.Choice2</v>
      </c>
    </row>
    <row r="18" spans="2:15" ht="16" customHeight="1" x14ac:dyDescent="0.2">
      <c r="B18" s="1" t="s">
        <v>101</v>
      </c>
      <c r="C18">
        <v>16050</v>
      </c>
      <c r="D18">
        <v>1</v>
      </c>
      <c r="E18">
        <v>6</v>
      </c>
      <c r="F18" t="s">
        <v>15</v>
      </c>
      <c r="H18" s="2" t="s">
        <v>19</v>
      </c>
      <c r="I18" s="2" t="s">
        <v>16</v>
      </c>
      <c r="J18" s="2" t="s">
        <v>22</v>
      </c>
      <c r="K18" s="2" t="s">
        <v>23</v>
      </c>
      <c r="L18" t="s">
        <v>10</v>
      </c>
      <c r="O18" t="str">
        <f>_xlfn.CONCAT(B18,H18,I18,J18,K18,L18)</f>
        <v>Jahn Co. is sponsoring a management retreat on July 15. Jahn was required to pay $5,000 when the contract is signed on June 15. Jahn will be invoiced for the remaining $15,000 balance of the contract on August 15. Payment in full is due on September 15. What amount should Jahn recognize as an expense in the third quarter of the year?$5,000$10,000$15,000$20,000Choice4</v>
      </c>
    </row>
    <row r="19" spans="2:15" ht="13" customHeight="1" x14ac:dyDescent="0.2">
      <c r="B19" s="1" t="s">
        <v>102</v>
      </c>
      <c r="C19">
        <v>18050</v>
      </c>
      <c r="D19">
        <v>1</v>
      </c>
      <c r="E19">
        <v>8</v>
      </c>
      <c r="F19" t="s">
        <v>15</v>
      </c>
      <c r="H19" s="2" t="s">
        <v>34</v>
      </c>
      <c r="I19" s="2" t="s">
        <v>103</v>
      </c>
      <c r="J19" s="2" t="s">
        <v>104</v>
      </c>
      <c r="K19" s="2" t="s">
        <v>27</v>
      </c>
      <c r="L19" t="s">
        <v>10</v>
      </c>
      <c r="O19" t="str">
        <f>_xlfn.CONCAT(B19,H19,I19,J19,K19,L19)</f>
        <v>A company has outstanding $1,000,000 face value, zero-coupon bonds. The unamortized discount on the bonds as of January 1, year 2 is $300,000. The unamortized discount is $230,000 as of December 31, year 2. The company uses the effective interest method of amortizing bond discounts and premiums. What is the effective interest rate on these bonds?0%7.0%9.1%10.0%Choice4</v>
      </c>
    </row>
    <row r="20" spans="2:15" ht="15" customHeight="1" x14ac:dyDescent="0.2">
      <c r="B20" s="1" t="s">
        <v>105</v>
      </c>
      <c r="C20">
        <v>118050</v>
      </c>
      <c r="D20">
        <v>1</v>
      </c>
      <c r="E20">
        <v>18</v>
      </c>
      <c r="F20" t="s">
        <v>15</v>
      </c>
      <c r="H20" t="s">
        <v>106</v>
      </c>
      <c r="I20" t="s">
        <v>107</v>
      </c>
      <c r="J20" t="s">
        <v>108</v>
      </c>
      <c r="K20" t="s">
        <v>109</v>
      </c>
      <c r="L20" t="s">
        <v>10</v>
      </c>
      <c r="O20" t="str">
        <f>_xlfn.CONCAT(B20,H20,I20,J20,K20,L20)</f>
        <v>At December 31, year 1, a company omitted the usual adjusting entry for the accrual of interest on notes payable. The note and the interest on the note will be paid on April 30, year 2. What is the effect of this error on the company's December 31, year 1, financial statements?Net income is understated.Current assets are overstated.Interest expense is overstated.Current liabilities are understated.Choice4</v>
      </c>
    </row>
    <row r="21" spans="2:15" ht="15" customHeight="1" x14ac:dyDescent="0.2">
      <c r="B21" s="1" t="s">
        <v>110</v>
      </c>
      <c r="C21">
        <v>119051</v>
      </c>
      <c r="D21">
        <v>1</v>
      </c>
      <c r="E21">
        <v>19</v>
      </c>
      <c r="F21" t="s">
        <v>15</v>
      </c>
      <c r="H21" t="s">
        <v>111</v>
      </c>
      <c r="I21" t="s">
        <v>112</v>
      </c>
      <c r="J21" t="s">
        <v>113</v>
      </c>
      <c r="K21" t="s">
        <v>114</v>
      </c>
      <c r="L21" t="s">
        <v>7</v>
      </c>
      <c r="O21" t="str">
        <f>_xlfn.CONCAT(B21,H21,I21,J21,K21,L21)</f>
        <v>In a situation when a nonmonetary asset is destroyed in one accounting period and the insurance proceeds are not determinable until a subsequent accounting period, a gain or loss is recognized in accordance with accounting for Contingencies.Estimates.Impairments.Disposal of long-lived assets.Choice1</v>
      </c>
    </row>
    <row r="22" spans="2:15" ht="17" customHeight="1" x14ac:dyDescent="0.2">
      <c r="B22" s="1" t="s">
        <v>115</v>
      </c>
      <c r="C22">
        <v>117050</v>
      </c>
      <c r="D22">
        <v>1</v>
      </c>
      <c r="E22">
        <v>17</v>
      </c>
      <c r="F22" t="s">
        <v>15</v>
      </c>
      <c r="H22" t="s">
        <v>116</v>
      </c>
      <c r="I22" t="s">
        <v>117</v>
      </c>
      <c r="J22" t="s">
        <v>118</v>
      </c>
      <c r="K22" t="s">
        <v>119</v>
      </c>
      <c r="L22" t="s">
        <v>10</v>
      </c>
      <c r="O22" t="str">
        <f>_xlfn.CONCAT(B22,H22,I22,J22,K22,L22)</f>
        <v>For a customer to have obtained control of a product in a bill-and-hold arrangement, each of the following criteria should be met, except:The reason for the bill-and-hold arrangement must be substantive.The product must be identified separately as belonging to the customer.The entity cannot have the ability to direct the product to another customer.A fixed schedule for delivery of the good must exist and be consistent with the buyer's business purpose.Choice4</v>
      </c>
    </row>
    <row r="23" spans="2:15" ht="15" customHeight="1" x14ac:dyDescent="0.2">
      <c r="B23" s="1" t="s">
        <v>120</v>
      </c>
      <c r="C23">
        <v>116050</v>
      </c>
      <c r="D23">
        <v>1</v>
      </c>
      <c r="E23">
        <v>16</v>
      </c>
      <c r="F23" t="s">
        <v>15</v>
      </c>
      <c r="H23" t="s">
        <v>121</v>
      </c>
      <c r="I23" t="s">
        <v>122</v>
      </c>
      <c r="J23" t="s">
        <v>123</v>
      </c>
      <c r="K23" t="s">
        <v>124</v>
      </c>
      <c r="L23" t="s">
        <v>7</v>
      </c>
      <c r="O23" t="str">
        <f>_xlfn.CONCAT(B23,H23,I23,J23,K23,L23)</f>
        <v>Each of the following statements is correct regarding when an enterprise is initially recognizing the financial statement effects of a tax position using the more-likely-than-not criterion of uncertain income tax positions, except:A legal tax opinion received from a third party is required support for an entity's tax position.It shall be presumed that the tax position will be examined by the relevant taxing authority that has full knowledge of all relevant information.Technical merits of a tax position derive from sources of authorities in the tax law and their applicability to the facts and circumstances of the tax position.Each tax position must be evaluated without consideration of the possibility of offset or aggregation with other positions.Choice1</v>
      </c>
    </row>
    <row r="24" spans="2:15" ht="15" customHeight="1" x14ac:dyDescent="0.2">
      <c r="B24" s="1" t="s">
        <v>125</v>
      </c>
      <c r="C24">
        <v>14093</v>
      </c>
      <c r="D24">
        <v>1</v>
      </c>
      <c r="E24">
        <v>4</v>
      </c>
      <c r="F24" t="s">
        <v>15</v>
      </c>
      <c r="H24" t="s">
        <v>126</v>
      </c>
      <c r="I24" t="s">
        <v>127</v>
      </c>
      <c r="J24" t="s">
        <v>128</v>
      </c>
      <c r="K24" t="s">
        <v>129</v>
      </c>
      <c r="L24" t="s">
        <v>7</v>
      </c>
      <c r="O24" t="str">
        <f>_xlfn.CONCAT(B24,H24,I24,J24,K24,L24)</f>
        <v>The fair value option can be applied only to An entire instrument.Specified risks of an instrument.Investments in subsidiaries requiring consolidation.Postemployment benefits.Choice1</v>
      </c>
    </row>
    <row r="25" spans="2:15" ht="15" customHeight="1" x14ac:dyDescent="0.2">
      <c r="B25" s="1" t="s">
        <v>130</v>
      </c>
      <c r="C25">
        <v>17050</v>
      </c>
      <c r="D25">
        <v>1</v>
      </c>
      <c r="E25">
        <v>7</v>
      </c>
      <c r="F25" t="s">
        <v>15</v>
      </c>
      <c r="H25" t="s">
        <v>131</v>
      </c>
      <c r="I25" t="s">
        <v>132</v>
      </c>
      <c r="J25" t="s">
        <v>133</v>
      </c>
      <c r="K25" t="s">
        <v>134</v>
      </c>
      <c r="L25" t="s">
        <v>8</v>
      </c>
      <c r="O25" t="str">
        <f>_xlfn.CONCAT(B25,H25,I25,J25,K25,L25)</f>
        <v>Which of the following statements is correct regarding the impact to a lessee of a residual value guarantee included in a lease?A significant residual value guarantee by the lessee will not affect the eligibility of an arrangement to be a sale leaseback transaction.A change in the probable amount owed by the lessee under the residual value guarantee requires remeasurement of the lease payments.A change in the probable amount owed by the lessee under the residual value guarantee requires updating the discount rate for the lease.The existence and terms and conditions of the residual value guarantee provided by the lessee are not required to be disclosed in the notes to the lessee's financial statements.Choice2</v>
      </c>
    </row>
    <row r="26" spans="2:15" ht="14" customHeight="1" x14ac:dyDescent="0.2">
      <c r="B26" s="1" t="s">
        <v>135</v>
      </c>
      <c r="C26">
        <v>119050</v>
      </c>
      <c r="D26">
        <v>1</v>
      </c>
      <c r="E26">
        <v>19</v>
      </c>
      <c r="F26" t="s">
        <v>15</v>
      </c>
      <c r="H26" t="s">
        <v>136</v>
      </c>
      <c r="I26" t="s">
        <v>137</v>
      </c>
      <c r="J26" t="s">
        <v>138</v>
      </c>
      <c r="K26" t="s">
        <v>139</v>
      </c>
      <c r="L26" t="s">
        <v>8</v>
      </c>
      <c r="O26" t="str">
        <f>_xlfn.CONCAT(B26,H26,I26,J26,K26,L26)</f>
        <v>On January 31, year 2, before the year 1 financial statements were issued, Hiller Co. agreed to settle a class action lawsuit filed in year 1 over false advertising claims. No liability had been previously accrued. The settlement will result in the dismissal of all claims against Hiller in exchange for $12 million. How should Hiller report this material liability in its year 1 financial statements? The liability should not be recorded or reported.Record a liability and loss, and disclose in the notes.Disclose in the notes, but not record a liability and loss.Record a liability and loss, but not disclose in the notes.Choice2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D06E-5C5C-1843-AEFD-527C8ABC288F}">
  <dimension ref="B3:I72"/>
  <sheetViews>
    <sheetView topLeftCell="A56" zoomScale="200" workbookViewId="0">
      <selection activeCell="B72" sqref="B72"/>
    </sheetView>
  </sheetViews>
  <sheetFormatPr baseColWidth="10" defaultRowHeight="15" x14ac:dyDescent="0.2"/>
  <sheetData>
    <row r="3" spans="3:8" x14ac:dyDescent="0.2">
      <c r="C3" t="s">
        <v>66</v>
      </c>
    </row>
    <row r="5" spans="3:8" x14ac:dyDescent="0.2">
      <c r="E5" s="6" t="s">
        <v>144</v>
      </c>
      <c r="G5" t="s">
        <v>143</v>
      </c>
    </row>
    <row r="6" spans="3:8" x14ac:dyDescent="0.2">
      <c r="E6" t="s">
        <v>140</v>
      </c>
      <c r="F6" s="3">
        <v>100</v>
      </c>
    </row>
    <row r="7" spans="3:8" x14ac:dyDescent="0.2">
      <c r="E7" t="s">
        <v>141</v>
      </c>
      <c r="F7">
        <v>-20</v>
      </c>
      <c r="G7" s="5">
        <v>0.2</v>
      </c>
    </row>
    <row r="8" spans="3:8" x14ac:dyDescent="0.2">
      <c r="E8" t="s">
        <v>142</v>
      </c>
      <c r="F8" s="3">
        <f>F6+F7</f>
        <v>80</v>
      </c>
      <c r="G8" s="5">
        <f>F8/F6</f>
        <v>0.8</v>
      </c>
    </row>
    <row r="11" spans="3:8" x14ac:dyDescent="0.2">
      <c r="D11" t="s">
        <v>148</v>
      </c>
      <c r="E11" t="s">
        <v>67</v>
      </c>
      <c r="G11" t="s">
        <v>143</v>
      </c>
    </row>
    <row r="12" spans="3:8" x14ac:dyDescent="0.2">
      <c r="E12" t="s">
        <v>140</v>
      </c>
      <c r="F12" s="3">
        <f>100*0.75</f>
        <v>75</v>
      </c>
    </row>
    <row r="13" spans="3:8" x14ac:dyDescent="0.2">
      <c r="E13" t="s">
        <v>141</v>
      </c>
      <c r="F13">
        <f>-F12*0.2</f>
        <v>-15</v>
      </c>
      <c r="G13" s="4"/>
      <c r="H13" t="s">
        <v>145</v>
      </c>
    </row>
    <row r="14" spans="3:8" x14ac:dyDescent="0.2">
      <c r="E14" t="s">
        <v>142</v>
      </c>
      <c r="F14" s="3">
        <f>F12+F13</f>
        <v>60</v>
      </c>
      <c r="G14" s="5">
        <f>F14/F12</f>
        <v>0.8</v>
      </c>
    </row>
    <row r="18" spans="4:8" x14ac:dyDescent="0.2">
      <c r="D18" t="s">
        <v>149</v>
      </c>
      <c r="E18" t="s">
        <v>68</v>
      </c>
      <c r="G18" t="s">
        <v>143</v>
      </c>
    </row>
    <row r="19" spans="4:8" x14ac:dyDescent="0.2">
      <c r="E19" t="s">
        <v>140</v>
      </c>
      <c r="F19" s="3">
        <f>100*0.75</f>
        <v>75</v>
      </c>
      <c r="H19" t="s">
        <v>146</v>
      </c>
    </row>
    <row r="20" spans="4:8" x14ac:dyDescent="0.2">
      <c r="E20" t="s">
        <v>141</v>
      </c>
      <c r="F20">
        <f>-20*0.75</f>
        <v>-15</v>
      </c>
      <c r="G20" s="4"/>
    </row>
    <row r="21" spans="4:8" x14ac:dyDescent="0.2">
      <c r="E21" t="s">
        <v>142</v>
      </c>
      <c r="F21" s="3">
        <f>F19+F20</f>
        <v>60</v>
      </c>
      <c r="G21" s="5">
        <f>F21/F19</f>
        <v>0.8</v>
      </c>
    </row>
    <row r="23" spans="4:8" x14ac:dyDescent="0.2">
      <c r="E23" s="7" t="s">
        <v>69</v>
      </c>
      <c r="F23" s="7"/>
      <c r="G23" s="7"/>
    </row>
    <row r="24" spans="4:8" x14ac:dyDescent="0.2">
      <c r="E24" s="7" t="s">
        <v>140</v>
      </c>
      <c r="F24" s="8">
        <v>100</v>
      </c>
      <c r="G24" s="7"/>
    </row>
    <row r="25" spans="4:8" x14ac:dyDescent="0.2">
      <c r="E25" s="7" t="s">
        <v>141</v>
      </c>
      <c r="F25" s="7">
        <f>-20*1.25</f>
        <v>-25</v>
      </c>
      <c r="G25" s="9"/>
    </row>
    <row r="26" spans="4:8" x14ac:dyDescent="0.2">
      <c r="E26" s="7" t="s">
        <v>142</v>
      </c>
      <c r="F26" s="8">
        <f>F24+F25</f>
        <v>75</v>
      </c>
      <c r="G26" s="10">
        <f>F26/F24</f>
        <v>0.75</v>
      </c>
    </row>
    <row r="29" spans="4:8" x14ac:dyDescent="0.2">
      <c r="D29" t="s">
        <v>150</v>
      </c>
      <c r="E29" t="s">
        <v>70</v>
      </c>
    </row>
    <row r="31" spans="4:8" x14ac:dyDescent="0.2">
      <c r="E31" t="s">
        <v>147</v>
      </c>
    </row>
    <row r="39" spans="3:9" x14ac:dyDescent="0.2">
      <c r="C39" s="11" t="s">
        <v>76</v>
      </c>
      <c r="D39" s="11"/>
      <c r="E39" s="11"/>
      <c r="F39" s="11"/>
      <c r="G39" s="11"/>
      <c r="H39" s="11"/>
      <c r="I39" s="11"/>
    </row>
    <row r="40" spans="3:9" x14ac:dyDescent="0.2">
      <c r="C40" s="11"/>
      <c r="D40" s="11"/>
      <c r="E40" s="11"/>
      <c r="F40" s="11"/>
      <c r="G40" s="11"/>
      <c r="H40" s="11"/>
      <c r="I40" s="11"/>
    </row>
    <row r="41" spans="3:9" x14ac:dyDescent="0.2">
      <c r="C41" s="11"/>
      <c r="D41" s="11"/>
      <c r="E41" s="11"/>
      <c r="F41" s="11"/>
      <c r="G41" s="11"/>
      <c r="H41" s="11"/>
      <c r="I41" s="11"/>
    </row>
    <row r="42" spans="3:9" x14ac:dyDescent="0.2">
      <c r="C42" s="11"/>
      <c r="D42" s="11"/>
      <c r="E42" s="11"/>
      <c r="F42" s="11"/>
      <c r="G42" s="11"/>
      <c r="H42" s="11"/>
      <c r="I42" s="11"/>
    </row>
    <row r="43" spans="3:9" x14ac:dyDescent="0.2">
      <c r="C43" s="11"/>
      <c r="D43" s="11"/>
      <c r="E43" s="11"/>
      <c r="F43" s="11"/>
      <c r="G43" s="11"/>
      <c r="H43" s="11"/>
      <c r="I43" s="11"/>
    </row>
    <row r="45" spans="3:9" x14ac:dyDescent="0.2">
      <c r="C45" t="s">
        <v>155</v>
      </c>
    </row>
    <row r="46" spans="3:9" x14ac:dyDescent="0.2">
      <c r="C46" t="s">
        <v>154</v>
      </c>
    </row>
    <row r="47" spans="3:9" x14ac:dyDescent="0.2">
      <c r="C47" t="s">
        <v>151</v>
      </c>
    </row>
    <row r="49" spans="2:8" x14ac:dyDescent="0.2">
      <c r="C49" t="s">
        <v>152</v>
      </c>
    </row>
    <row r="50" spans="2:8" x14ac:dyDescent="0.2">
      <c r="C50" t="s">
        <v>153</v>
      </c>
    </row>
    <row r="52" spans="2:8" x14ac:dyDescent="0.2">
      <c r="F52" t="s">
        <v>156</v>
      </c>
      <c r="G52" t="s">
        <v>157</v>
      </c>
    </row>
    <row r="53" spans="2:8" x14ac:dyDescent="0.2">
      <c r="E53" s="12" t="s">
        <v>158</v>
      </c>
      <c r="G53">
        <f>200000*0.8</f>
        <v>160000</v>
      </c>
    </row>
    <row r="54" spans="2:8" x14ac:dyDescent="0.2">
      <c r="E54" s="12" t="s">
        <v>159</v>
      </c>
      <c r="F54">
        <f>G53*0.05</f>
        <v>8000</v>
      </c>
    </row>
    <row r="55" spans="2:8" x14ac:dyDescent="0.2">
      <c r="E55" s="12" t="s">
        <v>160</v>
      </c>
      <c r="F55">
        <f>G53*0.15</f>
        <v>24000</v>
      </c>
    </row>
    <row r="56" spans="2:8" x14ac:dyDescent="0.2">
      <c r="E56" s="12" t="s">
        <v>161</v>
      </c>
      <c r="F56">
        <f>G53-F54-F55</f>
        <v>128000</v>
      </c>
    </row>
    <row r="58" spans="2:8" x14ac:dyDescent="0.2">
      <c r="B58" s="11" t="s">
        <v>105</v>
      </c>
      <c r="C58" s="11"/>
      <c r="D58" s="11"/>
      <c r="E58" s="11"/>
      <c r="F58" s="11"/>
      <c r="G58" s="11"/>
      <c r="H58" s="11"/>
    </row>
    <row r="59" spans="2:8" x14ac:dyDescent="0.2">
      <c r="B59" s="11"/>
      <c r="C59" s="11"/>
      <c r="D59" s="11"/>
      <c r="E59" s="11"/>
      <c r="F59" s="11"/>
      <c r="G59" s="11"/>
      <c r="H59" s="11"/>
    </row>
    <row r="60" spans="2:8" x14ac:dyDescent="0.2">
      <c r="B60" s="11"/>
      <c r="C60" s="11"/>
      <c r="D60" s="11"/>
      <c r="E60" s="11"/>
      <c r="F60" s="11"/>
      <c r="G60" s="11"/>
      <c r="H60" s="11"/>
    </row>
    <row r="61" spans="2:8" x14ac:dyDescent="0.2">
      <c r="B61" s="11"/>
      <c r="C61" s="11"/>
      <c r="D61" s="11"/>
      <c r="E61" s="11"/>
      <c r="F61" s="11"/>
      <c r="G61" s="11"/>
      <c r="H61" s="11"/>
    </row>
    <row r="63" spans="2:8" x14ac:dyDescent="0.2">
      <c r="C63" s="6" t="s">
        <v>162</v>
      </c>
    </row>
    <row r="65" spans="2:4" x14ac:dyDescent="0.2">
      <c r="C65" t="s">
        <v>156</v>
      </c>
      <c r="D65" t="s">
        <v>157</v>
      </c>
    </row>
    <row r="66" spans="2:4" x14ac:dyDescent="0.2">
      <c r="B66" s="12" t="s">
        <v>163</v>
      </c>
      <c r="C66" t="s">
        <v>164</v>
      </c>
    </row>
    <row r="67" spans="2:4" x14ac:dyDescent="0.2">
      <c r="B67" s="12" t="s">
        <v>165</v>
      </c>
      <c r="D67" t="s">
        <v>164</v>
      </c>
    </row>
    <row r="69" spans="2:4" x14ac:dyDescent="0.2">
      <c r="B69" t="s">
        <v>166</v>
      </c>
    </row>
    <row r="71" spans="2:4" x14ac:dyDescent="0.2">
      <c r="B71" t="s">
        <v>167</v>
      </c>
    </row>
    <row r="72" spans="2:4" x14ac:dyDescent="0.2">
      <c r="B72" t="s">
        <v>168</v>
      </c>
    </row>
  </sheetData>
  <mergeCells count="2">
    <mergeCell ref="C39:I43"/>
    <mergeCell ref="B58:H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solving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Kyle Ashcraft</cp:lastModifiedBy>
  <dcterms:created xsi:type="dcterms:W3CDTF">2025-11-02T16:46:42Z</dcterms:created>
  <dcterms:modified xsi:type="dcterms:W3CDTF">2026-05-05T14:36:44Z</dcterms:modified>
</cp:coreProperties>
</file>